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bundi\Desktop\Strathmore Lectures\AML YR 26\Excel Simulation\"/>
    </mc:Choice>
  </mc:AlternateContent>
  <xr:revisionPtr revIDLastSave="0" documentId="8_{AFC3E2DC-5B97-454A-A4B5-31200ED45E54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Dataset" sheetId="1" r:id="rId1"/>
    <sheet name="Acerno_Cache_XXXXX" sheetId="6" state="veryHidden" r:id="rId2"/>
    <sheet name="Entropy Calculation" sheetId="2" r:id="rId3"/>
    <sheet name="Best Split" sheetId="3" r:id="rId4"/>
    <sheet name="Tree Diagram" sheetId="4" r:id="rId5"/>
    <sheet name="Prediction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8" i="2" l="1"/>
  <c r="I10" i="2"/>
  <c r="B24" i="1"/>
  <c r="B29" i="1"/>
  <c r="C14" i="5"/>
  <c r="C11" i="5"/>
  <c r="I8" i="2"/>
  <c r="I7" i="2"/>
  <c r="I6" i="2"/>
  <c r="I9" i="2"/>
  <c r="H6" i="2"/>
  <c r="G6" i="2"/>
  <c r="E12" i="5"/>
  <c r="D12" i="5"/>
  <c r="C12" i="5"/>
  <c r="B12" i="5"/>
  <c r="E11" i="5"/>
  <c r="D11" i="5"/>
  <c r="H33" i="2"/>
  <c r="F33" i="2"/>
  <c r="E33" i="2"/>
  <c r="H32" i="2"/>
  <c r="F32" i="2"/>
  <c r="E32" i="2"/>
  <c r="H31" i="2"/>
  <c r="F31" i="2"/>
  <c r="E31" i="2"/>
  <c r="H24" i="2"/>
  <c r="F24" i="2"/>
  <c r="E24" i="2"/>
  <c r="H23" i="2"/>
  <c r="F23" i="2"/>
  <c r="E23" i="2"/>
  <c r="H16" i="2"/>
  <c r="F16" i="2"/>
  <c r="E16" i="2"/>
  <c r="H15" i="2"/>
  <c r="F15" i="2"/>
  <c r="E15" i="2"/>
  <c r="H8" i="2"/>
  <c r="F8" i="2"/>
  <c r="E8" i="2"/>
  <c r="H7" i="2"/>
  <c r="F7" i="2"/>
  <c r="E7" i="2"/>
  <c r="F6" i="2"/>
  <c r="E6" i="2"/>
  <c r="B23" i="1"/>
  <c r="B22" i="1"/>
  <c r="I35" i="2" l="1"/>
  <c r="I26" i="2"/>
  <c r="G8" i="2"/>
  <c r="G7" i="2"/>
  <c r="B25" i="1"/>
  <c r="G33" i="2"/>
  <c r="G32" i="2"/>
  <c r="I33" i="2"/>
  <c r="G31" i="2"/>
  <c r="I31" i="2" s="1"/>
  <c r="G24" i="2"/>
  <c r="G16" i="2"/>
  <c r="G15" i="2"/>
  <c r="G23" i="2"/>
  <c r="I32" i="2" l="1"/>
  <c r="I34" i="2" s="1"/>
  <c r="B8" i="3" s="1"/>
  <c r="I24" i="2"/>
  <c r="I16" i="2"/>
  <c r="I15" i="2"/>
  <c r="I17" i="2" s="1"/>
  <c r="B6" i="3" s="1"/>
  <c r="I23" i="2"/>
  <c r="I25" i="2" s="1"/>
  <c r="B7" i="3" s="1"/>
  <c r="C6" i="3" l="1"/>
  <c r="C8" i="3"/>
  <c r="C7" i="3"/>
  <c r="C5" i="3" l="1"/>
  <c r="B5" i="3"/>
  <c r="D6" i="3" l="1"/>
  <c r="E6" i="3" s="1"/>
  <c r="D7" i="3"/>
  <c r="E7" i="3" s="1"/>
  <c r="D8" i="3"/>
  <c r="E8" i="3" s="1"/>
  <c r="D5" i="3"/>
  <c r="E5" i="3" s="1"/>
</calcChain>
</file>

<file path=xl/sharedStrings.xml><?xml version="1.0" encoding="utf-8"?>
<sst xmlns="http://schemas.openxmlformats.org/spreadsheetml/2006/main" count="271" uniqueCount="102">
  <si>
    <t>Decision Tree Demo — Toy Dataset</t>
  </si>
  <si>
    <t>Should we play tennis today? (classic ML toy problem)</t>
  </si>
  <si>
    <t>ID</t>
  </si>
  <si>
    <t>Outlook</t>
  </si>
  <si>
    <t>Temperature</t>
  </si>
  <si>
    <t>Humidity</t>
  </si>
  <si>
    <t>Wind</t>
  </si>
  <si>
    <t>Play Tennis?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</si>
  <si>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</si>
  <si>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</si>
  <si>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</si>
  <si>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</si>
  <si>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</si>
  <si>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</si>
  <si>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</si>
  <si>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</si>
  <si>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</si>
  <si>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</si>
  <si>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</si>
  <si>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</si>
  <si>
    <t>Summary</t>
  </si>
  <si>
    <t>Total samples</t>
  </si>
  <si>
    <t>Yes (Play)</t>
  </si>
  <si>
    <t>No (Don't Play)</t>
  </si>
  <si>
    <t>P(Yes)</t>
  </si>
  <si>
    <t>P(No)</t>
  </si>
  <si>
    <t>Parent Entropy</t>
  </si>
  <si>
    <t>Formula:</t>
  </si>
  <si>
    <t>-P(Yes)×log₂P(Yes) - P(No)×log₂P(No)</t>
  </si>
  <si>
    <t>H(Parent)</t>
  </si>
  <si>
    <t>Step-by-Step Entropy &amp; Information Gain for Each Feature</t>
  </si>
  <si>
    <t>H(node) = -Σ pᵢ × log₂(pᵢ)    |    H(split) = Σ (nⱼ/N) × H(child_j)    |    IG = H(parent) - H(split)</t>
  </si>
  <si>
    <t>FEATURE 1: Outlook (Sunny / Overcast / Rain)</t>
  </si>
  <si>
    <t>Branch</t>
  </si>
  <si>
    <t>Total</t>
  </si>
  <si>
    <t>Entropy</t>
  </si>
  <si>
    <t>Weight</t>
  </si>
  <si>
    <t>Weighted Entropy</t>
  </si>
  <si>
    <t>TOTAL</t>
  </si>
  <si>
    <t>Information Gain</t>
  </si>
  <si>
    <t>FEATURE 2: Humidity (High / Normal)</t>
  </si>
  <si>
    <t>FEATURE 3: Wind (Weak / Strong)</t>
  </si>
  <si>
    <t>FEATURE 4: Temperature (Hot / Mild / Cool)</t>
  </si>
  <si>
    <t>Choosing the Best Root Split</t>
  </si>
  <si>
    <t>The feature with the HIGHEST Information Gain becomes the root split.</t>
  </si>
  <si>
    <t>Feature</t>
  </si>
  <si>
    <t>Rank</t>
  </si>
  <si>
    <t>Decision</t>
  </si>
  <si>
    <t>HOW THE ALGORITHM DECIDES (using Entropy &amp; Information Gain):</t>
  </si>
  <si>
    <t>1. Calculate the parent node's Entropy: H(S) = -Σ pᵢ × log₂(pᵢ)</t>
  </si>
  <si>
    <t>2. For each feature, split the data into branches (one per category).</t>
  </si>
  <si>
    <t>3. Calculate the Entropy H(child) for each branch.</t>
  </si>
  <si>
    <t>4. Compute the weighted average Entropy: H(S|feature) = Σ (nⱼ/N) × H(child_j).</t>
  </si>
  <si>
    <t>5. Information Gain = H(parent) - H(S|feature).</t>
  </si>
  <si>
    <t>6. Pick the feature with the HIGHEST Information Gain → that's the best split.</t>
  </si>
  <si>
    <t>7. Repeat recursively for each child node until a stopping condition is met.</t>
  </si>
  <si>
    <t>Stopping conditions: max depth reached, node is pure (Entropy=0), or too few samples.</t>
  </si>
  <si>
    <t>Note: Entropy ranges from 0 (pure) to 1 (maximum uncertainty for binary classification).</t>
  </si>
  <si>
    <t>Higher entropy = more disorder = more uncertainty about the class label.</t>
  </si>
  <si>
    <t>The Final Decision Tree</t>
  </si>
  <si>
    <t>Built by recursively choosing the feature with the highest Information Gain at each node.</t>
  </si>
  <si>
    <t>OUTLOOK</t>
  </si>
  <si>
    <t>← Root split (highest Information Gain)</t>
  </si>
  <si>
    <t>┌─────────────────────┼─────────────────────┐</t>
  </si>
  <si>
    <t>(5 samples: 2Y, 3N)</t>
  </si>
  <si>
    <t>(4 samples: 4Y, 0N)</t>
  </si>
  <si>
    <t>(5 samples: 3Y, 2N)</t>
  </si>
  <si>
    <t>│</t>
  </si>
  <si>
    <t>Split: HUMIDITY</t>
  </si>
  <si>
    <t>PLAY = Yes</t>
  </si>
  <si>
    <t>Split: WIND</t>
  </si>
  <si>
    <t>(Pure node: H=0)</t>
  </si>
  <si>
    <t>┌────┴────┐</t>
  </si>
  <si>
    <t>(3 samples)</t>
  </si>
  <si>
    <t>(2 samples)</t>
  </si>
  <si>
    <t>DECISION RULES (if-then format):</t>
  </si>
  <si>
    <t>Rule 1:  IF Outlook = Overcast                        → PLAY = Yes</t>
  </si>
  <si>
    <t>Rule 2:  IF Outlook = Sunny  AND Humidity = High      → PLAY = No</t>
  </si>
  <si>
    <t>Rule 3:  IF Outlook = Sunny  AND Humidity = Normal    → PLAY = Yes</t>
  </si>
  <si>
    <t>Rule 4:  IF Outlook = Rain   AND Wind = Weak          → PLAY = Yes</t>
  </si>
  <si>
    <t>Rule 5:  IF Outlook = Rain   AND Wind = Strong        → PLAY = No</t>
  </si>
  <si>
    <t>Making a Prediction with the Decision Tree</t>
  </si>
  <si>
    <t>Walk a new observation through the tree, following the splits at each node.</t>
  </si>
  <si>
    <t>NEW OBSERVATION (change these values to see different predictions):</t>
  </si>
  <si>
    <t>STEP-BY-STEP TREE WALK:</t>
  </si>
  <si>
    <t>Step</t>
  </si>
  <si>
    <t>Node Question</t>
  </si>
  <si>
    <t>Your Value</t>
  </si>
  <si>
    <t>Direction</t>
  </si>
  <si>
    <t>Next Node</t>
  </si>
  <si>
    <t>What is the Outlook?</t>
  </si>
  <si>
    <t>FINAL PREDICTION:</t>
  </si>
  <si>
    <t>TRY IT: Change the input values above (row 6) and watch the prediction change!</t>
  </si>
  <si>
    <t>EXAMPLE PREDICTIONS:</t>
  </si>
  <si>
    <t>Temp</t>
  </si>
  <si>
    <t>Prediction</t>
  </si>
  <si>
    <t>Rule Used</t>
  </si>
  <si>
    <t>Rule 2</t>
  </si>
  <si>
    <t>Rule 1</t>
  </si>
  <si>
    <t>Rule 4</t>
  </si>
  <si>
    <t>Rule 3</t>
  </si>
  <si>
    <t>Rule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</si>
</sst>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b/>
      <sz val="11"/>
      <color rgb="FF9C0006"/>
      <name val="Arial"/>
      <charset val="1"/>
    </font>
    <font>
      <b/>
      <sz val="11"/>
      <color rgb="FF006100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b/>
      <sz val="12"/>
      <color rgb="FFC00000"/>
      <name val="Arial"/>
      <charset val="1"/>
    </font>
    <font>
      <b/>
      <sz val="11"/>
      <color rgb="FFC00000"/>
      <name val="Arial"/>
      <charset val="1"/>
    </font>
    <font>
      <b/>
      <sz val="12"/>
      <color rgb="FF2E75B6"/>
      <name val="Arial"/>
      <charset val="1"/>
    </font>
    <font>
      <b/>
      <sz val="11"/>
      <name val="Arial"/>
      <charset val="1"/>
    </font>
    <font>
      <sz val="11"/>
      <color rgb="FF008000"/>
      <name val="Arial"/>
      <charset val="1"/>
    </font>
    <font>
      <b/>
      <sz val="12"/>
      <color rgb="FF1F4E79"/>
      <name val="Arial"/>
      <charset val="1"/>
    </font>
    <font>
      <sz val="11"/>
      <color rgb="FF888888"/>
      <name val="Arial"/>
      <charset val="1"/>
    </font>
    <font>
      <b/>
      <sz val="12"/>
      <name val="Arial"/>
      <charset val="1"/>
    </font>
    <font>
      <b/>
      <sz val="12"/>
      <color rgb="FF006100"/>
      <name val="Arial"/>
      <charset val="1"/>
    </font>
    <font>
      <b/>
      <sz val="12"/>
      <color rgb="FF9C0006"/>
      <name val="Arial"/>
      <charset val="1"/>
    </font>
    <font>
      <sz val="11"/>
      <name val="Consolas"/>
      <charset val="1"/>
    </font>
    <font>
      <b/>
      <sz val="11"/>
      <color rgb="FF1F4E79"/>
      <name val="Arial"/>
      <charset val="1"/>
    </font>
    <font>
      <b/>
      <sz val="16"/>
      <name val="Arial"/>
      <charset val="1"/>
    </font>
    <font>
      <b/>
      <i/>
      <sz val="11"/>
      <color rgb="FFC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8D7DA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0" fillId="0" borderId="0" xfId="0" applyFont="1"/>
    <xf numFmtId="0" fontId="22" fillId="0" borderId="0" xfId="0" applyFont="1"/>
    <xf numFmtId="0" fontId="20" fillId="5" borderId="0" xfId="0" applyFont="1" applyFill="1"/>
    <xf numFmtId="0" fontId="19" fillId="0" borderId="0" xfId="0" applyFont="1"/>
    <xf numFmtId="0" fontId="7" fillId="0" borderId="0" xfId="0" applyFont="1"/>
    <xf numFmtId="0" fontId="14" fillId="0" borderId="0" xfId="0" applyFont="1"/>
    <xf numFmtId="0" fontId="11" fillId="5" borderId="0" xfId="0" applyFont="1" applyFill="1"/>
    <xf numFmtId="0" fontId="1" fillId="0" borderId="0" xfId="0" applyFont="1"/>
    <xf numFmtId="0" fontId="9" fillId="0" borderId="0" xfId="0" applyFont="1"/>
    <xf numFmtId="0" fontId="3" fillId="5" borderId="0" xfId="0" applyFont="1" applyFill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8" fillId="0" borderId="0" xfId="0" applyFont="1"/>
    <xf numFmtId="164" fontId="8" fillId="0" borderId="0" xfId="0" applyNumberFormat="1" applyFont="1"/>
    <xf numFmtId="164" fontId="10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61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29"/>
  <sheetViews>
    <sheetView zoomScaleNormal="100" workbookViewId="0">
      <selection activeCell="B22" sqref="B22"/>
    </sheetView>
  </sheetViews>
  <sheetFormatPr defaultColWidth="8.7109375" defaultRowHeight="15" x14ac:dyDescent="0.25"/>
  <cols>
    <col min="1" max="1" width="15.140625" bestFit="1" customWidth="1"/>
    <col min="2" max="2" width="34.140625" bestFit="1" customWidth="1"/>
    <col min="3" max="3" width="13.140625" customWidth="1"/>
    <col min="4" max="4" width="10" customWidth="1"/>
    <col min="5" max="5" width="11.140625" customWidth="1"/>
    <col min="6" max="6" width="13.140625" customWidth="1"/>
  </cols>
  <sheetData>
    <row r="1" spans="1:6" ht="17.45" customHeight="1" x14ac:dyDescent="0.25">
      <c r="A1" s="12" t="s">
        <v>0</v>
      </c>
      <c r="B1" s="12"/>
      <c r="C1" s="12"/>
      <c r="D1" s="12"/>
      <c r="E1" s="12"/>
      <c r="F1" s="12"/>
    </row>
    <row r="2" spans="1:6" x14ac:dyDescent="0.25">
      <c r="A2" s="11" t="s">
        <v>1</v>
      </c>
      <c r="B2" s="11"/>
      <c r="C2" s="11"/>
      <c r="D2" s="11"/>
      <c r="E2" s="11"/>
      <c r="F2" s="11"/>
    </row>
    <row r="4" spans="1:6" ht="30" x14ac:dyDescent="0.2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</row>
    <row r="5" spans="1:6" x14ac:dyDescent="0.25">
      <c r="A5" s="15">
        <v>1</v>
      </c>
      <c r="B5" s="15" t="s">
        <v>8</v>
      </c>
      <c r="C5" s="15" t="s">
        <v>9</v>
      </c>
      <c r="D5" s="15" t="s">
        <v>10</v>
      </c>
      <c r="E5" s="15" t="s">
        <v>11</v>
      </c>
      <c r="F5" s="16" t="s">
        <v>12</v>
      </c>
    </row>
    <row r="6" spans="1:6" x14ac:dyDescent="0.25">
      <c r="A6" s="15">
        <v>2</v>
      </c>
      <c r="B6" s="15" t="s">
        <v>8</v>
      </c>
      <c r="C6" s="15" t="s">
        <v>9</v>
      </c>
      <c r="D6" s="15" t="s">
        <v>10</v>
      </c>
      <c r="E6" s="15" t="s">
        <v>13</v>
      </c>
      <c r="F6" s="16" t="s">
        <v>12</v>
      </c>
    </row>
    <row r="7" spans="1:6" x14ac:dyDescent="0.25">
      <c r="A7" s="15">
        <v>3</v>
      </c>
      <c r="B7" s="15" t="s">
        <v>14</v>
      </c>
      <c r="C7" s="15" t="s">
        <v>9</v>
      </c>
      <c r="D7" s="15" t="s">
        <v>10</v>
      </c>
      <c r="E7" s="15" t="s">
        <v>11</v>
      </c>
      <c r="F7" s="17" t="s">
        <v>15</v>
      </c>
    </row>
    <row r="8" spans="1:6" x14ac:dyDescent="0.25">
      <c r="A8" s="15">
        <v>4</v>
      </c>
      <c r="B8" s="15" t="s">
        <v>16</v>
      </c>
      <c r="C8" s="15" t="s">
        <v>17</v>
      </c>
      <c r="D8" s="15" t="s">
        <v>10</v>
      </c>
      <c r="E8" s="15" t="s">
        <v>11</v>
      </c>
      <c r="F8" s="17" t="s">
        <v>15</v>
      </c>
    </row>
    <row r="9" spans="1:6" x14ac:dyDescent="0.25">
      <c r="A9" s="15">
        <v>5</v>
      </c>
      <c r="B9" s="15" t="s">
        <v>16</v>
      </c>
      <c r="C9" s="15" t="s">
        <v>18</v>
      </c>
      <c r="D9" s="15" t="s">
        <v>19</v>
      </c>
      <c r="E9" s="15" t="s">
        <v>11</v>
      </c>
      <c r="F9" s="17" t="s">
        <v>15</v>
      </c>
    </row>
    <row r="10" spans="1:6" x14ac:dyDescent="0.25">
      <c r="A10" s="15">
        <v>6</v>
      </c>
      <c r="B10" s="15" t="s">
        <v>16</v>
      </c>
      <c r="C10" s="15" t="s">
        <v>18</v>
      </c>
      <c r="D10" s="15" t="s">
        <v>19</v>
      </c>
      <c r="E10" s="15" t="s">
        <v>13</v>
      </c>
      <c r="F10" s="16" t="s">
        <v>12</v>
      </c>
    </row>
    <row r="11" spans="1:6" x14ac:dyDescent="0.25">
      <c r="A11" s="15">
        <v>7</v>
      </c>
      <c r="B11" s="15" t="s">
        <v>14</v>
      </c>
      <c r="C11" s="15" t="s">
        <v>18</v>
      </c>
      <c r="D11" s="15" t="s">
        <v>19</v>
      </c>
      <c r="E11" s="15" t="s">
        <v>13</v>
      </c>
      <c r="F11" s="17" t="s">
        <v>15</v>
      </c>
    </row>
    <row r="12" spans="1:6" x14ac:dyDescent="0.25">
      <c r="A12" s="15">
        <v>8</v>
      </c>
      <c r="B12" s="15" t="s">
        <v>8</v>
      </c>
      <c r="C12" s="15" t="s">
        <v>17</v>
      </c>
      <c r="D12" s="15" t="s">
        <v>10</v>
      </c>
      <c r="E12" s="15" t="s">
        <v>11</v>
      </c>
      <c r="F12" s="16" t="s">
        <v>12</v>
      </c>
    </row>
    <row r="13" spans="1:6" x14ac:dyDescent="0.25">
      <c r="A13" s="15">
        <v>9</v>
      </c>
      <c r="B13" s="15" t="s">
        <v>8</v>
      </c>
      <c r="C13" s="15" t="s">
        <v>18</v>
      </c>
      <c r="D13" s="15" t="s">
        <v>19</v>
      </c>
      <c r="E13" s="15" t="s">
        <v>11</v>
      </c>
      <c r="F13" s="17" t="s">
        <v>15</v>
      </c>
    </row>
    <row r="14" spans="1:6" x14ac:dyDescent="0.25">
      <c r="A14" s="15">
        <v>10</v>
      </c>
      <c r="B14" s="15" t="s">
        <v>16</v>
      </c>
      <c r="C14" s="15" t="s">
        <v>17</v>
      </c>
      <c r="D14" s="15" t="s">
        <v>19</v>
      </c>
      <c r="E14" s="15" t="s">
        <v>11</v>
      </c>
      <c r="F14" s="17" t="s">
        <v>15</v>
      </c>
    </row>
    <row r="15" spans="1:6" x14ac:dyDescent="0.25">
      <c r="A15" s="15">
        <v>11</v>
      </c>
      <c r="B15" s="15" t="s">
        <v>8</v>
      </c>
      <c r="C15" s="15" t="s">
        <v>17</v>
      </c>
      <c r="D15" s="15" t="s">
        <v>19</v>
      </c>
      <c r="E15" s="15" t="s">
        <v>13</v>
      </c>
      <c r="F15" s="17" t="s">
        <v>15</v>
      </c>
    </row>
    <row r="16" spans="1:6" x14ac:dyDescent="0.25">
      <c r="A16" s="15">
        <v>12</v>
      </c>
      <c r="B16" s="15" t="s">
        <v>14</v>
      </c>
      <c r="C16" s="15" t="s">
        <v>17</v>
      </c>
      <c r="D16" s="15" t="s">
        <v>10</v>
      </c>
      <c r="E16" s="15" t="s">
        <v>13</v>
      </c>
      <c r="F16" s="17" t="s">
        <v>15</v>
      </c>
    </row>
    <row r="17" spans="1:6" x14ac:dyDescent="0.25">
      <c r="A17" s="15">
        <v>13</v>
      </c>
      <c r="B17" s="15" t="s">
        <v>14</v>
      </c>
      <c r="C17" s="15" t="s">
        <v>9</v>
      </c>
      <c r="D17" s="15" t="s">
        <v>19</v>
      </c>
      <c r="E17" s="15" t="s">
        <v>11</v>
      </c>
      <c r="F17" s="17" t="s">
        <v>15</v>
      </c>
    </row>
    <row r="18" spans="1:6" x14ac:dyDescent="0.25">
      <c r="A18" s="15">
        <v>14</v>
      </c>
      <c r="B18" s="15" t="s">
        <v>16</v>
      </c>
      <c r="C18" s="15" t="s">
        <v>17</v>
      </c>
      <c r="D18" s="15" t="s">
        <v>10</v>
      </c>
      <c r="E18" s="15" t="s">
        <v>13</v>
      </c>
      <c r="F18" s="16" t="s">
        <v>12</v>
      </c>
    </row>
    <row r="20" spans="1:6" x14ac:dyDescent="0.25">
      <c r="A20" s="10" t="s">
        <v>20</v>
      </c>
      <c r="B20" s="10"/>
    </row>
    <row r="21" spans="1:6" x14ac:dyDescent="0.25">
      <c r="A21" s="18" t="s">
        <v>21</v>
      </c>
      <c r="B21" s="19">
        <v>14</v>
      </c>
    </row>
    <row r="22" spans="1:6" x14ac:dyDescent="0.25">
      <c r="A22" s="18" t="s">
        <v>22</v>
      </c>
      <c r="B22" s="20">
        <f>COUNTIF(F5:F18, "Yes")</f>
        <v>9</v>
      </c>
    </row>
    <row r="23" spans="1:6" x14ac:dyDescent="0.25">
      <c r="A23" s="18" t="s">
        <v>23</v>
      </c>
      <c r="B23" s="20">
        <f>COUNTIF(F5:F18, "No")</f>
        <v>5</v>
      </c>
    </row>
    <row r="24" spans="1:6" x14ac:dyDescent="0.25">
      <c r="A24" s="18" t="s">
        <v>24</v>
      </c>
      <c r="B24" s="21">
        <f>B22/B21</f>
        <v>0.6428571428571429</v>
      </c>
    </row>
    <row r="25" spans="1:6" x14ac:dyDescent="0.25">
      <c r="A25" s="18" t="s">
        <v>25</v>
      </c>
      <c r="B25" s="21">
        <f>B23/B21</f>
        <v>0.35714285714285715</v>
      </c>
    </row>
    <row r="27" spans="1:6" ht="15.75" x14ac:dyDescent="0.25">
      <c r="A27" s="9" t="s">
        <v>26</v>
      </c>
      <c r="B27" s="9"/>
    </row>
    <row r="28" spans="1:6" x14ac:dyDescent="0.25">
      <c r="A28" s="13" t="s">
        <v>27</v>
      </c>
      <c r="B28" s="13" t="s">
        <v>28</v>
      </c>
    </row>
    <row r="29" spans="1:6" x14ac:dyDescent="0.25">
      <c r="A29" s="18" t="s">
        <v>29</v>
      </c>
      <c r="B29" s="22">
        <f>-IF(B24=0,0,B24*LOG(B24,2))-IF(B25=0,0,B25*LOG(B25,2))</f>
        <v>0.94028595867063092</v>
      </c>
    </row>
  </sheetData>
  <mergeCells count="4">
    <mergeCell ref="A1:F1"/>
    <mergeCell ref="A2:F2"/>
    <mergeCell ref="A20:B20"/>
    <mergeCell ref="A27:B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EDDA-FF49-4D65-A047-E6AA6CF05224}">
  <dimension ref="A1"/>
  <sheetViews>
    <sheetView workbookViewId="0"/>
  </sheetViews>
  <sheetFormatPr defaultRowHeight="15" x14ac:dyDescent="0.25"/>
  <cols>
    <col min="1" max="16384" width="9.140625" style="4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35"/>
  <sheetViews>
    <sheetView tabSelected="1" topLeftCell="A3" zoomScaleNormal="100" workbookViewId="0">
      <selection activeCell="P18" sqref="P18"/>
    </sheetView>
  </sheetViews>
  <sheetFormatPr defaultColWidth="8.7109375" defaultRowHeight="15" x14ac:dyDescent="0.25"/>
  <cols>
    <col min="1" max="1" width="16" customWidth="1"/>
    <col min="2" max="4" width="8" customWidth="1"/>
    <col min="5" max="8" width="10" customWidth="1"/>
    <col min="9" max="9" width="18" customWidth="1"/>
    <col min="10" max="10" width="4" customWidth="1"/>
  </cols>
  <sheetData>
    <row r="1" spans="1:10" ht="18" x14ac:dyDescent="0.25">
      <c r="A1" s="8" t="s">
        <v>30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11" t="s">
        <v>31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5.75" x14ac:dyDescent="0.25">
      <c r="A4" s="7" t="s">
        <v>32</v>
      </c>
      <c r="B4" s="7"/>
      <c r="C4" s="7"/>
      <c r="D4" s="7"/>
      <c r="E4" s="7"/>
      <c r="F4" s="7"/>
      <c r="G4" s="7"/>
      <c r="H4" s="7"/>
      <c r="I4" s="7"/>
      <c r="J4" s="7"/>
    </row>
    <row r="5" spans="1:10" ht="30" x14ac:dyDescent="0.25">
      <c r="A5" s="14" t="s">
        <v>33</v>
      </c>
      <c r="B5" s="14" t="s">
        <v>34</v>
      </c>
      <c r="C5" s="14" t="s">
        <v>15</v>
      </c>
      <c r="D5" s="14" t="s">
        <v>12</v>
      </c>
      <c r="E5" s="14" t="s">
        <v>24</v>
      </c>
      <c r="F5" s="14" t="s">
        <v>25</v>
      </c>
      <c r="G5" s="14" t="s">
        <v>35</v>
      </c>
      <c r="H5" s="14" t="s">
        <v>36</v>
      </c>
      <c r="I5" s="14" t="s">
        <v>37</v>
      </c>
      <c r="J5" s="14"/>
    </row>
    <row r="6" spans="1:10" x14ac:dyDescent="0.25">
      <c r="A6" s="23" t="s">
        <v>8</v>
      </c>
      <c r="B6" s="15">
        <v>5</v>
      </c>
      <c r="C6" s="15">
        <v>2</v>
      </c>
      <c r="D6" s="15">
        <v>3</v>
      </c>
      <c r="E6" s="24">
        <f>C6/B6</f>
        <v>0.4</v>
      </c>
      <c r="F6" s="24">
        <f>D6/B6</f>
        <v>0.6</v>
      </c>
      <c r="G6" s="24">
        <f>-IF(E6=0,0,E6*LOG(E6,2))+-IF(F6=0,0,F6*LOG(F6,2))</f>
        <v>0.97095059445466858</v>
      </c>
      <c r="H6" s="24">
        <f>B6/14</f>
        <v>0.35714285714285715</v>
      </c>
      <c r="I6" s="24">
        <f>H6*G6</f>
        <v>0.34676806944809591</v>
      </c>
    </row>
    <row r="7" spans="1:10" x14ac:dyDescent="0.25">
      <c r="A7" s="23" t="s">
        <v>14</v>
      </c>
      <c r="B7" s="15">
        <v>4</v>
      </c>
      <c r="C7" s="15">
        <v>4</v>
      </c>
      <c r="D7" s="15">
        <v>0</v>
      </c>
      <c r="E7" s="24">
        <f>C7/B7</f>
        <v>1</v>
      </c>
      <c r="F7" s="24">
        <f>D7/B7</f>
        <v>0</v>
      </c>
      <c r="G7" s="24">
        <f>-IF(E7=0,0,E7*LOG(E7,2))+-IF(F7=0,0,F7*LOG(F7,2))</f>
        <v>0</v>
      </c>
      <c r="H7" s="24">
        <f>B7/14</f>
        <v>0.2857142857142857</v>
      </c>
      <c r="I7" s="24">
        <f>H7*G7</f>
        <v>0</v>
      </c>
    </row>
    <row r="8" spans="1:10" x14ac:dyDescent="0.25">
      <c r="A8" s="23" t="s">
        <v>16</v>
      </c>
      <c r="B8" s="15">
        <v>5</v>
      </c>
      <c r="C8" s="15">
        <v>3</v>
      </c>
      <c r="D8" s="15">
        <v>2</v>
      </c>
      <c r="E8" s="24">
        <f>C8/B8</f>
        <v>0.6</v>
      </c>
      <c r="F8" s="24">
        <f>D8/B8</f>
        <v>0.4</v>
      </c>
      <c r="G8" s="24">
        <f>-IF(E8=0,0,E8*LOG(E8,2))+-IF(F8=0,0,F8*LOG(F8,2))</f>
        <v>0.97095059445466858</v>
      </c>
      <c r="H8" s="24">
        <f>B8/14</f>
        <v>0.35714285714285715</v>
      </c>
      <c r="I8" s="24">
        <f>H8*G8</f>
        <v>0.34676806944809591</v>
      </c>
    </row>
    <row r="9" spans="1:10" x14ac:dyDescent="0.25">
      <c r="A9" s="25" t="s">
        <v>38</v>
      </c>
      <c r="I9" s="26">
        <f>SUM(I6:I8)</f>
        <v>0.69353613889619181</v>
      </c>
    </row>
    <row r="10" spans="1:10" ht="30" x14ac:dyDescent="0.25">
      <c r="A10" s="27" t="s">
        <v>39</v>
      </c>
      <c r="I10" s="28">
        <f>Dataset!B29-I9</f>
        <v>0.24674981977443911</v>
      </c>
    </row>
    <row r="13" spans="1:10" ht="15.75" x14ac:dyDescent="0.25">
      <c r="A13" s="7" t="s">
        <v>40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ht="30" x14ac:dyDescent="0.25">
      <c r="A14" s="14" t="s">
        <v>33</v>
      </c>
      <c r="B14" s="14" t="s">
        <v>34</v>
      </c>
      <c r="C14" s="14" t="s">
        <v>15</v>
      </c>
      <c r="D14" s="14" t="s">
        <v>12</v>
      </c>
      <c r="E14" s="14" t="s">
        <v>24</v>
      </c>
      <c r="F14" s="14" t="s">
        <v>25</v>
      </c>
      <c r="G14" s="14" t="s">
        <v>35</v>
      </c>
      <c r="H14" s="14" t="s">
        <v>36</v>
      </c>
      <c r="I14" s="14" t="s">
        <v>37</v>
      </c>
      <c r="J14" s="14"/>
    </row>
    <row r="15" spans="1:10" x14ac:dyDescent="0.25">
      <c r="A15" s="23" t="s">
        <v>10</v>
      </c>
      <c r="B15" s="15">
        <v>7</v>
      </c>
      <c r="C15" s="15">
        <v>3</v>
      </c>
      <c r="D15" s="15">
        <v>4</v>
      </c>
      <c r="E15" s="24">
        <f>C15/B15</f>
        <v>0.42857142857142855</v>
      </c>
      <c r="F15" s="24">
        <f>D15/B15</f>
        <v>0.5714285714285714</v>
      </c>
      <c r="G15" s="24">
        <f>-IF(E15=0,0,E15*LOG(E15,2))+-IF(F15=0,0,F15*LOG(F15,2))</f>
        <v>0.98522813603425163</v>
      </c>
      <c r="H15" s="24">
        <f>B15/14</f>
        <v>0.5</v>
      </c>
      <c r="I15" s="24">
        <f>H15*G15</f>
        <v>0.49261406801712582</v>
      </c>
    </row>
    <row r="16" spans="1:10" x14ac:dyDescent="0.25">
      <c r="A16" s="23" t="s">
        <v>19</v>
      </c>
      <c r="B16" s="15">
        <v>7</v>
      </c>
      <c r="C16" s="15">
        <v>6</v>
      </c>
      <c r="D16" s="15">
        <v>1</v>
      </c>
      <c r="E16" s="24">
        <f>C16/B16</f>
        <v>0.8571428571428571</v>
      </c>
      <c r="F16" s="24">
        <f>D16/B16</f>
        <v>0.14285714285714285</v>
      </c>
      <c r="G16" s="24">
        <f>-IF(E16=0,0,E16*LOG(E16,2))+-IF(F16=0,0,F16*LOG(F16,2))</f>
        <v>0.59167277858232747</v>
      </c>
      <c r="H16" s="24">
        <f>B16/14</f>
        <v>0.5</v>
      </c>
      <c r="I16" s="24">
        <f>H16*G16</f>
        <v>0.29583638929116374</v>
      </c>
    </row>
    <row r="17" spans="1:10" x14ac:dyDescent="0.25">
      <c r="A17" s="25" t="s">
        <v>38</v>
      </c>
      <c r="I17" s="26">
        <f>SUM(I15:I16)</f>
        <v>0.78845045730828955</v>
      </c>
    </row>
    <row r="18" spans="1:10" ht="30" x14ac:dyDescent="0.25">
      <c r="A18" s="27" t="s">
        <v>39</v>
      </c>
      <c r="I18" s="28">
        <f>Dataset!B29-I17</f>
        <v>0.15183550136234136</v>
      </c>
    </row>
    <row r="21" spans="1:10" ht="15.75" x14ac:dyDescent="0.25">
      <c r="A21" s="7" t="s">
        <v>41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30" x14ac:dyDescent="0.25">
      <c r="A22" s="14" t="s">
        <v>33</v>
      </c>
      <c r="B22" s="14" t="s">
        <v>34</v>
      </c>
      <c r="C22" s="14" t="s">
        <v>15</v>
      </c>
      <c r="D22" s="14" t="s">
        <v>12</v>
      </c>
      <c r="E22" s="14" t="s">
        <v>24</v>
      </c>
      <c r="F22" s="14" t="s">
        <v>25</v>
      </c>
      <c r="G22" s="14" t="s">
        <v>35</v>
      </c>
      <c r="H22" s="14" t="s">
        <v>36</v>
      </c>
      <c r="I22" s="14" t="s">
        <v>37</v>
      </c>
      <c r="J22" s="14"/>
    </row>
    <row r="23" spans="1:10" x14ac:dyDescent="0.25">
      <c r="A23" s="23" t="s">
        <v>11</v>
      </c>
      <c r="B23" s="15">
        <v>8</v>
      </c>
      <c r="C23" s="15">
        <v>6</v>
      </c>
      <c r="D23" s="15">
        <v>2</v>
      </c>
      <c r="E23" s="24">
        <f>C23/B23</f>
        <v>0.75</v>
      </c>
      <c r="F23" s="24">
        <f>D23/B23</f>
        <v>0.25</v>
      </c>
      <c r="G23" s="24">
        <f>-IF(E23=0,0,E23*LOG(E23,2))+-IF(F23=0,0,F23*LOG(F23,2))</f>
        <v>0.81127812445913283</v>
      </c>
      <c r="H23" s="24">
        <f>B23/14</f>
        <v>0.5714285714285714</v>
      </c>
      <c r="I23" s="24">
        <f>H23*G23</f>
        <v>0.46358749969093305</v>
      </c>
    </row>
    <row r="24" spans="1:10" x14ac:dyDescent="0.25">
      <c r="A24" s="23" t="s">
        <v>13</v>
      </c>
      <c r="B24" s="15">
        <v>6</v>
      </c>
      <c r="C24" s="15">
        <v>3</v>
      </c>
      <c r="D24" s="15">
        <v>3</v>
      </c>
      <c r="E24" s="24">
        <f>C24/B24</f>
        <v>0.5</v>
      </c>
      <c r="F24" s="24">
        <f>D24/B24</f>
        <v>0.5</v>
      </c>
      <c r="G24" s="24">
        <f>-IF(E24=0,0,E24*LOG(E24,2))+-IF(F24=0,0,F24*LOG(F24,2))</f>
        <v>1</v>
      </c>
      <c r="H24" s="24">
        <f>B24/14</f>
        <v>0.42857142857142855</v>
      </c>
      <c r="I24" s="24">
        <f>H24*G24</f>
        <v>0.42857142857142855</v>
      </c>
    </row>
    <row r="25" spans="1:10" x14ac:dyDescent="0.25">
      <c r="A25" s="25" t="s">
        <v>38</v>
      </c>
      <c r="I25" s="26">
        <f>SUM(I23:I24)</f>
        <v>0.89215892826236165</v>
      </c>
    </row>
    <row r="26" spans="1:10" ht="30" x14ac:dyDescent="0.25">
      <c r="A26" s="27" t="s">
        <v>39</v>
      </c>
      <c r="I26" s="28">
        <f>Dataset!B29-I25</f>
        <v>4.8127030408269267E-2</v>
      </c>
    </row>
    <row r="29" spans="1:10" ht="15.75" x14ac:dyDescent="0.25">
      <c r="A29" s="7" t="s">
        <v>42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 ht="30" x14ac:dyDescent="0.25">
      <c r="A30" s="14" t="s">
        <v>33</v>
      </c>
      <c r="B30" s="14" t="s">
        <v>34</v>
      </c>
      <c r="C30" s="14" t="s">
        <v>15</v>
      </c>
      <c r="D30" s="14" t="s">
        <v>12</v>
      </c>
      <c r="E30" s="14" t="s">
        <v>24</v>
      </c>
      <c r="F30" s="14" t="s">
        <v>25</v>
      </c>
      <c r="G30" s="14" t="s">
        <v>35</v>
      </c>
      <c r="H30" s="14" t="s">
        <v>36</v>
      </c>
      <c r="I30" s="14" t="s">
        <v>37</v>
      </c>
      <c r="J30" s="14"/>
    </row>
    <row r="31" spans="1:10" x14ac:dyDescent="0.25">
      <c r="A31" s="23" t="s">
        <v>9</v>
      </c>
      <c r="B31" s="15">
        <v>4</v>
      </c>
      <c r="C31" s="15">
        <v>2</v>
      </c>
      <c r="D31" s="15">
        <v>2</v>
      </c>
      <c r="E31" s="24">
        <f>C31/B31</f>
        <v>0.5</v>
      </c>
      <c r="F31" s="24">
        <f>D31/B31</f>
        <v>0.5</v>
      </c>
      <c r="G31" s="24">
        <f>-IF(E31=0,0,E31*LOG(E31,2))+-IF(F31=0,0,F31*LOG(F31,2))</f>
        <v>1</v>
      </c>
      <c r="H31" s="24">
        <f>B31/14</f>
        <v>0.2857142857142857</v>
      </c>
      <c r="I31" s="24">
        <f>H31*G31</f>
        <v>0.2857142857142857</v>
      </c>
    </row>
    <row r="32" spans="1:10" x14ac:dyDescent="0.25">
      <c r="A32" s="23" t="s">
        <v>17</v>
      </c>
      <c r="B32" s="15">
        <v>6</v>
      </c>
      <c r="C32" s="15">
        <v>4</v>
      </c>
      <c r="D32" s="15">
        <v>2</v>
      </c>
      <c r="E32" s="24">
        <f>C32/B32</f>
        <v>0.66666666666666663</v>
      </c>
      <c r="F32" s="24">
        <f>D32/B32</f>
        <v>0.33333333333333331</v>
      </c>
      <c r="G32" s="24">
        <f>-IF(E32=0,0,E32*LOG(E32,2))+-IF(F32=0,0,F32*LOG(F32,2))</f>
        <v>0.91829583405448956</v>
      </c>
      <c r="H32" s="24">
        <f>B32/14</f>
        <v>0.42857142857142855</v>
      </c>
      <c r="I32" s="24">
        <f>H32*G32</f>
        <v>0.39355535745192405</v>
      </c>
    </row>
    <row r="33" spans="1:9" x14ac:dyDescent="0.25">
      <c r="A33" s="23" t="s">
        <v>18</v>
      </c>
      <c r="B33" s="15">
        <v>4</v>
      </c>
      <c r="C33" s="15">
        <v>3</v>
      </c>
      <c r="D33" s="15">
        <v>1</v>
      </c>
      <c r="E33" s="24">
        <f>C33/B33</f>
        <v>0.75</v>
      </c>
      <c r="F33" s="24">
        <f>D33/B33</f>
        <v>0.25</v>
      </c>
      <c r="G33" s="24">
        <f>-IF(E33=0,0,E33*LOG(E33,2))+-IF(F33=0,0,F33*LOG(F33,2))</f>
        <v>0.81127812445913283</v>
      </c>
      <c r="H33" s="24">
        <f>B33/14</f>
        <v>0.2857142857142857</v>
      </c>
      <c r="I33" s="24">
        <f>H33*G33</f>
        <v>0.23179374984546652</v>
      </c>
    </row>
    <row r="34" spans="1:9" x14ac:dyDescent="0.25">
      <c r="A34" s="25" t="s">
        <v>38</v>
      </c>
      <c r="I34" s="26">
        <f>SUM(I31:I33)</f>
        <v>0.91106339301167627</v>
      </c>
    </row>
    <row r="35" spans="1:9" ht="30" x14ac:dyDescent="0.25">
      <c r="A35" s="27" t="s">
        <v>39</v>
      </c>
      <c r="I35" s="28">
        <f>Dataset!B29-I34</f>
        <v>2.9222565658954647E-2</v>
      </c>
    </row>
  </sheetData>
  <mergeCells count="6">
    <mergeCell ref="A29:J29"/>
    <mergeCell ref="A1:J1"/>
    <mergeCell ref="A2:J2"/>
    <mergeCell ref="A4:J4"/>
    <mergeCell ref="A13:J13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E23"/>
  <sheetViews>
    <sheetView zoomScaleNormal="100" workbookViewId="0">
      <selection sqref="A1:E1"/>
    </sheetView>
  </sheetViews>
  <sheetFormatPr defaultColWidth="8.7109375" defaultRowHeight="15" x14ac:dyDescent="0.25"/>
  <cols>
    <col min="1" max="1" width="18" customWidth="1"/>
    <col min="2" max="2" width="20" customWidth="1"/>
    <col min="3" max="3" width="18" customWidth="1"/>
    <col min="4" max="4" width="8" customWidth="1"/>
    <col min="5" max="5" width="16" customWidth="1"/>
  </cols>
  <sheetData>
    <row r="1" spans="1:5" ht="18" x14ac:dyDescent="0.25">
      <c r="A1" s="8" t="s">
        <v>43</v>
      </c>
      <c r="B1" s="8"/>
      <c r="C1" s="8"/>
      <c r="D1" s="8"/>
      <c r="E1" s="8"/>
    </row>
    <row r="2" spans="1:5" x14ac:dyDescent="0.25">
      <c r="A2" s="11" t="s">
        <v>44</v>
      </c>
      <c r="B2" s="11"/>
      <c r="C2" s="11"/>
      <c r="D2" s="11"/>
      <c r="E2" s="11"/>
    </row>
    <row r="4" spans="1:5" x14ac:dyDescent="0.25">
      <c r="A4" s="14" t="s">
        <v>45</v>
      </c>
      <c r="B4" s="14" t="s">
        <v>37</v>
      </c>
      <c r="C4" s="14" t="s">
        <v>39</v>
      </c>
      <c r="D4" s="14" t="s">
        <v>46</v>
      </c>
      <c r="E4" s="14" t="s">
        <v>47</v>
      </c>
    </row>
    <row r="5" spans="1:5" x14ac:dyDescent="0.25">
      <c r="A5" s="23" t="s">
        <v>3</v>
      </c>
      <c r="B5" s="29">
        <f>'Entropy Calculation'!I9</f>
        <v>0.69353613889619181</v>
      </c>
      <c r="C5" s="29">
        <f>'Entropy Calculation'!I10</f>
        <v>0.24674981977443911</v>
      </c>
      <c r="D5" s="30">
        <f>RANK(C5,C5:C8,0)</f>
        <v>1</v>
      </c>
      <c r="E5" s="31" t="str">
        <f>IF(D5=1,"ROOT SPLIT","")</f>
        <v>ROOT SPLIT</v>
      </c>
    </row>
    <row r="6" spans="1:5" x14ac:dyDescent="0.25">
      <c r="A6" s="23" t="s">
        <v>5</v>
      </c>
      <c r="B6" s="29">
        <f>'Entropy Calculation'!I17</f>
        <v>0.78845045730828955</v>
      </c>
      <c r="C6" s="29">
        <f>'Entropy Calculation'!I18</f>
        <v>0.15183550136234136</v>
      </c>
      <c r="D6" s="30">
        <f>RANK(C6,C5:C8,0)</f>
        <v>2</v>
      </c>
      <c r="E6" s="31" t="str">
        <f>IF(D6=1,"ROOT SPLIT","")</f>
        <v/>
      </c>
    </row>
    <row r="7" spans="1:5" x14ac:dyDescent="0.25">
      <c r="A7" s="23" t="s">
        <v>6</v>
      </c>
      <c r="B7" s="29">
        <f>'Entropy Calculation'!I25</f>
        <v>0.89215892826236165</v>
      </c>
      <c r="C7" s="29">
        <f>'Entropy Calculation'!I26</f>
        <v>4.8127030408269267E-2</v>
      </c>
      <c r="D7" s="30">
        <f>RANK(C7,C5:C8,0)</f>
        <v>3</v>
      </c>
      <c r="E7" s="31" t="str">
        <f>IF(D7=1,"ROOT SPLIT","")</f>
        <v/>
      </c>
    </row>
    <row r="8" spans="1:5" x14ac:dyDescent="0.25">
      <c r="A8" s="23" t="s">
        <v>4</v>
      </c>
      <c r="B8" s="29">
        <f>'Entropy Calculation'!I34</f>
        <v>0.91106339301167627</v>
      </c>
      <c r="C8" s="29">
        <f>'Entropy Calculation'!I35</f>
        <v>2.9222565658954647E-2</v>
      </c>
      <c r="D8" s="30">
        <f>RANK(C8,C5:C8,0)</f>
        <v>4</v>
      </c>
      <c r="E8" s="31" t="str">
        <f>IF(D8=1,"ROOT SPLIT","")</f>
        <v/>
      </c>
    </row>
    <row r="11" spans="1:5" ht="15.75" x14ac:dyDescent="0.25">
      <c r="A11" s="6" t="s">
        <v>48</v>
      </c>
      <c r="B11" s="6"/>
      <c r="C11" s="6"/>
      <c r="D11" s="6"/>
      <c r="E11" s="6"/>
    </row>
    <row r="12" spans="1:5" x14ac:dyDescent="0.25">
      <c r="A12" s="5" t="s">
        <v>49</v>
      </c>
      <c r="B12" s="5"/>
      <c r="C12" s="5"/>
      <c r="D12" s="5"/>
      <c r="E12" s="5"/>
    </row>
    <row r="13" spans="1:5" x14ac:dyDescent="0.25">
      <c r="A13" s="5" t="s">
        <v>50</v>
      </c>
      <c r="B13" s="5"/>
      <c r="C13" s="5"/>
      <c r="D13" s="5"/>
      <c r="E13" s="5"/>
    </row>
    <row r="14" spans="1:5" x14ac:dyDescent="0.25">
      <c r="A14" s="5" t="s">
        <v>51</v>
      </c>
      <c r="B14" s="5"/>
      <c r="C14" s="5"/>
      <c r="D14" s="5"/>
      <c r="E14" s="5"/>
    </row>
    <row r="15" spans="1:5" x14ac:dyDescent="0.25">
      <c r="A15" s="5" t="s">
        <v>52</v>
      </c>
      <c r="B15" s="5"/>
      <c r="C15" s="5"/>
      <c r="D15" s="5"/>
      <c r="E15" s="5"/>
    </row>
    <row r="16" spans="1:5" x14ac:dyDescent="0.25">
      <c r="A16" s="5" t="s">
        <v>53</v>
      </c>
      <c r="B16" s="5"/>
      <c r="C16" s="5"/>
      <c r="D16" s="5"/>
      <c r="E16" s="5"/>
    </row>
    <row r="17" spans="1:5" x14ac:dyDescent="0.25">
      <c r="A17" s="5" t="s">
        <v>54</v>
      </c>
      <c r="B17" s="5"/>
      <c r="C17" s="5"/>
      <c r="D17" s="5"/>
      <c r="E17" s="5"/>
    </row>
    <row r="18" spans="1:5" x14ac:dyDescent="0.25">
      <c r="A18" s="5" t="s">
        <v>55</v>
      </c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 t="s">
        <v>56</v>
      </c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 t="s">
        <v>57</v>
      </c>
      <c r="B22" s="5"/>
      <c r="C22" s="5"/>
      <c r="D22" s="5"/>
      <c r="E22" s="5"/>
    </row>
    <row r="23" spans="1:5" x14ac:dyDescent="0.25">
      <c r="A23" s="5" t="s">
        <v>58</v>
      </c>
      <c r="B23" s="5"/>
      <c r="C23" s="5"/>
      <c r="D23" s="5"/>
      <c r="E23" s="5"/>
    </row>
  </sheetData>
  <mergeCells count="15">
    <mergeCell ref="A19:E19"/>
    <mergeCell ref="A20:E20"/>
    <mergeCell ref="A21:E21"/>
    <mergeCell ref="A22:E22"/>
    <mergeCell ref="A23:E23"/>
    <mergeCell ref="A14:E14"/>
    <mergeCell ref="A15:E15"/>
    <mergeCell ref="A16:E16"/>
    <mergeCell ref="A17:E17"/>
    <mergeCell ref="A18:E18"/>
    <mergeCell ref="A1:E1"/>
    <mergeCell ref="A2:E2"/>
    <mergeCell ref="A11:E11"/>
    <mergeCell ref="A12:E12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L24"/>
  <sheetViews>
    <sheetView zoomScaleNormal="100" workbookViewId="0">
      <selection sqref="A1:L1"/>
    </sheetView>
  </sheetViews>
  <sheetFormatPr defaultColWidth="8.7109375" defaultRowHeight="15" x14ac:dyDescent="0.25"/>
  <cols>
    <col min="1" max="6" width="18" customWidth="1"/>
  </cols>
  <sheetData>
    <row r="1" spans="1:12" ht="18" x14ac:dyDescent="0.25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11" t="s">
        <v>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38.25" x14ac:dyDescent="0.25">
      <c r="B4" s="32" t="s">
        <v>61</v>
      </c>
      <c r="F4" s="33" t="s">
        <v>62</v>
      </c>
    </row>
    <row r="6" spans="1:12" ht="71.25" x14ac:dyDescent="0.25">
      <c r="A6" s="34" t="s">
        <v>63</v>
      </c>
    </row>
    <row r="7" spans="1:12" ht="15.75" x14ac:dyDescent="0.25">
      <c r="A7" s="35" t="s">
        <v>8</v>
      </c>
      <c r="C7" s="36" t="s">
        <v>14</v>
      </c>
      <c r="E7" s="35" t="s">
        <v>16</v>
      </c>
    </row>
    <row r="8" spans="1:12" ht="25.5" x14ac:dyDescent="0.25">
      <c r="A8" s="33" t="s">
        <v>64</v>
      </c>
      <c r="C8" s="33" t="s">
        <v>65</v>
      </c>
      <c r="E8" s="33" t="s">
        <v>66</v>
      </c>
    </row>
    <row r="9" spans="1:12" x14ac:dyDescent="0.25">
      <c r="A9" s="34" t="s">
        <v>67</v>
      </c>
      <c r="C9" s="34" t="s">
        <v>67</v>
      </c>
      <c r="E9" s="34" t="s">
        <v>67</v>
      </c>
    </row>
    <row r="10" spans="1:12" ht="15.75" x14ac:dyDescent="0.25">
      <c r="A10" s="25" t="s">
        <v>68</v>
      </c>
      <c r="C10" s="37" t="s">
        <v>69</v>
      </c>
      <c r="E10" s="25" t="s">
        <v>70</v>
      </c>
    </row>
    <row r="11" spans="1:12" x14ac:dyDescent="0.25">
      <c r="A11" s="34" t="s">
        <v>67</v>
      </c>
      <c r="C11" s="33" t="s">
        <v>71</v>
      </c>
      <c r="E11" s="34" t="s">
        <v>67</v>
      </c>
    </row>
    <row r="12" spans="1:12" ht="28.5" x14ac:dyDescent="0.25">
      <c r="A12" s="34" t="s">
        <v>72</v>
      </c>
      <c r="E12" s="34" t="s">
        <v>72</v>
      </c>
    </row>
    <row r="13" spans="1:12" x14ac:dyDescent="0.25">
      <c r="A13" s="38" t="s">
        <v>10</v>
      </c>
      <c r="B13" s="27" t="s">
        <v>19</v>
      </c>
      <c r="E13" s="27" t="s">
        <v>11</v>
      </c>
      <c r="F13" s="38" t="s">
        <v>13</v>
      </c>
    </row>
    <row r="14" spans="1:12" x14ac:dyDescent="0.25">
      <c r="A14" s="34" t="s">
        <v>67</v>
      </c>
      <c r="B14" s="34" t="s">
        <v>67</v>
      </c>
      <c r="E14" s="34" t="s">
        <v>67</v>
      </c>
      <c r="F14" s="34" t="s">
        <v>67</v>
      </c>
    </row>
    <row r="15" spans="1:12" ht="15.75" x14ac:dyDescent="0.25">
      <c r="A15" s="39" t="s">
        <v>12</v>
      </c>
      <c r="B15" s="37" t="s">
        <v>15</v>
      </c>
      <c r="E15" s="37" t="s">
        <v>15</v>
      </c>
      <c r="F15" s="39" t="s">
        <v>12</v>
      </c>
    </row>
    <row r="16" spans="1:12" x14ac:dyDescent="0.25">
      <c r="A16" s="33" t="s">
        <v>73</v>
      </c>
      <c r="B16" s="33" t="s">
        <v>74</v>
      </c>
      <c r="E16" s="33" t="s">
        <v>73</v>
      </c>
      <c r="F16" s="33" t="s">
        <v>74</v>
      </c>
    </row>
    <row r="19" spans="1:6" ht="15.75" x14ac:dyDescent="0.25">
      <c r="A19" s="6" t="s">
        <v>75</v>
      </c>
      <c r="B19" s="6"/>
      <c r="C19" s="6"/>
      <c r="D19" s="6"/>
      <c r="E19" s="6"/>
      <c r="F19" s="6"/>
    </row>
    <row r="20" spans="1:6" x14ac:dyDescent="0.25">
      <c r="A20" s="4" t="s">
        <v>76</v>
      </c>
      <c r="B20" s="4"/>
      <c r="C20" s="4"/>
      <c r="D20" s="4"/>
      <c r="E20" s="4"/>
      <c r="F20" s="4"/>
    </row>
    <row r="21" spans="1:6" x14ac:dyDescent="0.25">
      <c r="A21" s="4" t="s">
        <v>77</v>
      </c>
      <c r="B21" s="4"/>
      <c r="C21" s="4"/>
      <c r="D21" s="4"/>
      <c r="E21" s="4"/>
      <c r="F21" s="4"/>
    </row>
    <row r="22" spans="1:6" x14ac:dyDescent="0.25">
      <c r="A22" s="4" t="s">
        <v>78</v>
      </c>
      <c r="B22" s="4"/>
      <c r="C22" s="4"/>
      <c r="D22" s="4"/>
      <c r="E22" s="4"/>
      <c r="F22" s="4"/>
    </row>
    <row r="23" spans="1:6" x14ac:dyDescent="0.25">
      <c r="A23" s="4" t="s">
        <v>79</v>
      </c>
      <c r="B23" s="4"/>
      <c r="C23" s="4"/>
      <c r="D23" s="4"/>
      <c r="E23" s="4"/>
      <c r="F23" s="4"/>
    </row>
    <row r="24" spans="1:6" x14ac:dyDescent="0.25">
      <c r="A24" s="4" t="s">
        <v>80</v>
      </c>
      <c r="B24" s="4"/>
      <c r="C24" s="4"/>
      <c r="D24" s="4"/>
      <c r="E24" s="4"/>
      <c r="F24" s="4"/>
    </row>
  </sheetData>
  <mergeCells count="8">
    <mergeCell ref="A22:F22"/>
    <mergeCell ref="A23:F23"/>
    <mergeCell ref="A24:F24"/>
    <mergeCell ref="A1:L1"/>
    <mergeCell ref="A2:L2"/>
    <mergeCell ref="A19:F19"/>
    <mergeCell ref="A20:F20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24"/>
  <sheetViews>
    <sheetView zoomScaleNormal="100" workbookViewId="0">
      <selection activeCell="C15" sqref="C15"/>
    </sheetView>
  </sheetViews>
  <sheetFormatPr defaultColWidth="8.7109375" defaultRowHeight="15" x14ac:dyDescent="0.25"/>
  <cols>
    <col min="1" max="3" width="14" customWidth="1"/>
    <col min="4" max="4" width="12" customWidth="1"/>
    <col min="5" max="6" width="14" customWidth="1"/>
  </cols>
  <sheetData>
    <row r="1" spans="1:6" ht="18" x14ac:dyDescent="0.25">
      <c r="A1" s="8" t="s">
        <v>81</v>
      </c>
      <c r="B1" s="8"/>
      <c r="C1" s="8"/>
      <c r="D1" s="8"/>
      <c r="E1" s="8"/>
      <c r="F1" s="8"/>
    </row>
    <row r="2" spans="1:6" x14ac:dyDescent="0.25">
      <c r="A2" s="11" t="s">
        <v>82</v>
      </c>
      <c r="B2" s="11"/>
      <c r="C2" s="11"/>
      <c r="D2" s="11"/>
      <c r="E2" s="11"/>
      <c r="F2" s="11"/>
    </row>
    <row r="4" spans="1:6" x14ac:dyDescent="0.25">
      <c r="A4" s="3" t="s">
        <v>83</v>
      </c>
      <c r="B4" s="3"/>
      <c r="C4" s="3"/>
      <c r="D4" s="3"/>
      <c r="E4" s="3"/>
      <c r="F4" s="3"/>
    </row>
    <row r="5" spans="1:6" ht="30" x14ac:dyDescent="0.25">
      <c r="A5" s="14" t="s">
        <v>3</v>
      </c>
      <c r="B5" s="14" t="s">
        <v>4</v>
      </c>
      <c r="C5" s="14" t="s">
        <v>5</v>
      </c>
      <c r="D5" s="14" t="s">
        <v>6</v>
      </c>
    </row>
    <row r="6" spans="1:6" x14ac:dyDescent="0.25">
      <c r="A6" s="40" t="s">
        <v>8</v>
      </c>
      <c r="B6" s="40" t="s">
        <v>18</v>
      </c>
      <c r="C6" s="40" t="s">
        <v>10</v>
      </c>
      <c r="D6" s="40" t="s">
        <v>13</v>
      </c>
    </row>
    <row r="9" spans="1:6" ht="15.75" x14ac:dyDescent="0.25">
      <c r="A9" s="6" t="s">
        <v>84</v>
      </c>
      <c r="B9" s="6"/>
      <c r="C9" s="6"/>
      <c r="D9" s="6"/>
      <c r="E9" s="6"/>
      <c r="F9" s="6"/>
    </row>
    <row r="10" spans="1:6" ht="30" x14ac:dyDescent="0.25">
      <c r="A10" s="14" t="s">
        <v>85</v>
      </c>
      <c r="B10" s="14" t="s">
        <v>86</v>
      </c>
      <c r="C10" s="14" t="s">
        <v>87</v>
      </c>
      <c r="D10" s="14" t="s">
        <v>88</v>
      </c>
      <c r="E10" s="14" t="s">
        <v>89</v>
      </c>
    </row>
    <row r="11" spans="1:6" ht="42.75" x14ac:dyDescent="0.25">
      <c r="A11" s="23">
        <v>1</v>
      </c>
      <c r="B11" s="23" t="s">
        <v>90</v>
      </c>
      <c r="C11" s="41" t="str">
        <f>A6</f>
        <v>Sunny</v>
      </c>
      <c r="D11" s="30" t="str">
        <f>A6</f>
        <v>Sunny</v>
      </c>
      <c r="E11" s="30" t="str">
        <f>IF(A6="Overcast","LEAF: Yes",IF(A6="Sunny","Go to Humidity node","Go to Wind node"))</f>
        <v>Go to Humidity node</v>
      </c>
    </row>
    <row r="12" spans="1:6" ht="28.5" x14ac:dyDescent="0.25">
      <c r="A12" s="23">
        <v>2</v>
      </c>
      <c r="B12" s="30" t="str">
        <f>IF(A6="Sunny","What is the Humidity?",IF(A6="Rain","What is the Wind?","(already at leaf)"))</f>
        <v>What is the Humidity?</v>
      </c>
      <c r="C12" s="41" t="str">
        <f>IF(A6="Sunny",C6,IF(A6="Rain",D6,"N/A"))</f>
        <v>High</v>
      </c>
      <c r="D12" s="30" t="str">
        <f>IF(A6="Sunny",C6,IF(A6="Rain",D6,"N/A"))</f>
        <v>High</v>
      </c>
      <c r="E12" s="30" t="str">
        <f>IF(A6="Overcast","(done)",IF(A6="Sunny",IF(C6="High","LEAF: No","LEAF: Yes"),IF(D6="Weak","LEAF: Yes","LEAF: No")))</f>
        <v>LEAF: No</v>
      </c>
    </row>
    <row r="14" spans="1:6" ht="20.25" x14ac:dyDescent="0.25">
      <c r="A14" s="8" t="s">
        <v>91</v>
      </c>
      <c r="B14" s="8"/>
      <c r="C14" s="42" t="str">
        <f>IF(A6="Overcast","Yes",IF(A6="Sunny",IF(C6="High","No","Yes"),IF(A6="Rain",IF(D6="Weak","Yes","No"),"Unknown")))</f>
        <v>No</v>
      </c>
    </row>
    <row r="16" spans="1:6" x14ac:dyDescent="0.25">
      <c r="A16" s="2" t="s">
        <v>92</v>
      </c>
      <c r="B16" s="2"/>
      <c r="C16" s="2"/>
      <c r="D16" s="2"/>
      <c r="E16" s="2"/>
      <c r="F16" s="2"/>
    </row>
    <row r="18" spans="1:6" x14ac:dyDescent="0.25">
      <c r="A18" s="1" t="s">
        <v>93</v>
      </c>
      <c r="B18" s="1"/>
      <c r="C18" s="1"/>
      <c r="D18" s="1"/>
      <c r="E18" s="1"/>
      <c r="F18" s="1"/>
    </row>
    <row r="19" spans="1:6" x14ac:dyDescent="0.25">
      <c r="A19" s="14" t="s">
        <v>3</v>
      </c>
      <c r="B19" s="14" t="s">
        <v>94</v>
      </c>
      <c r="C19" s="14" t="s">
        <v>5</v>
      </c>
      <c r="D19" s="14" t="s">
        <v>6</v>
      </c>
      <c r="E19" s="14" t="s">
        <v>95</v>
      </c>
      <c r="F19" s="14" t="s">
        <v>96</v>
      </c>
    </row>
    <row r="20" spans="1:6" x14ac:dyDescent="0.25">
      <c r="A20" s="23" t="s">
        <v>8</v>
      </c>
      <c r="B20" s="23" t="s">
        <v>9</v>
      </c>
      <c r="C20" s="23" t="s">
        <v>10</v>
      </c>
      <c r="D20" s="23" t="s">
        <v>11</v>
      </c>
      <c r="E20" s="16" t="s">
        <v>12</v>
      </c>
      <c r="F20" s="23" t="s">
        <v>97</v>
      </c>
    </row>
    <row r="21" spans="1:6" x14ac:dyDescent="0.25">
      <c r="A21" s="23" t="s">
        <v>14</v>
      </c>
      <c r="B21" s="23" t="s">
        <v>18</v>
      </c>
      <c r="C21" s="23" t="s">
        <v>19</v>
      </c>
      <c r="D21" s="23" t="s">
        <v>13</v>
      </c>
      <c r="E21" s="17" t="s">
        <v>15</v>
      </c>
      <c r="F21" s="23" t="s">
        <v>98</v>
      </c>
    </row>
    <row r="22" spans="1:6" x14ac:dyDescent="0.25">
      <c r="A22" s="23" t="s">
        <v>16</v>
      </c>
      <c r="B22" s="23" t="s">
        <v>17</v>
      </c>
      <c r="C22" s="23" t="s">
        <v>19</v>
      </c>
      <c r="D22" s="23" t="s">
        <v>11</v>
      </c>
      <c r="E22" s="17" t="s">
        <v>15</v>
      </c>
      <c r="F22" s="23" t="s">
        <v>99</v>
      </c>
    </row>
    <row r="23" spans="1:6" x14ac:dyDescent="0.25">
      <c r="A23" s="23" t="s">
        <v>8</v>
      </c>
      <c r="B23" s="23" t="s">
        <v>17</v>
      </c>
      <c r="C23" s="23" t="s">
        <v>19</v>
      </c>
      <c r="D23" s="23" t="s">
        <v>13</v>
      </c>
      <c r="E23" s="17" t="s">
        <v>15</v>
      </c>
      <c r="F23" s="23" t="s">
        <v>100</v>
      </c>
    </row>
    <row r="24" spans="1:6" x14ac:dyDescent="0.25">
      <c r="A24" s="23" t="s">
        <v>16</v>
      </c>
      <c r="B24" s="23" t="s">
        <v>18</v>
      </c>
      <c r="C24" s="23" t="s">
        <v>19</v>
      </c>
      <c r="D24" s="23" t="s">
        <v>13</v>
      </c>
      <c r="E24" s="16" t="s">
        <v>12</v>
      </c>
      <c r="F24" s="23" t="s">
        <v>101</v>
      </c>
    </row>
  </sheetData>
  <mergeCells count="7">
    <mergeCell ref="A16:F16"/>
    <mergeCell ref="A18:F18"/>
    <mergeCell ref="A1:F1"/>
    <mergeCell ref="A2:F2"/>
    <mergeCell ref="A4:F4"/>
    <mergeCell ref="A9:F9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Entropy Calculation</vt:lpstr>
      <vt:lpstr>Best Split</vt:lpstr>
      <vt:lpstr>Tree Diagram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Lee Bundi</cp:lastModifiedBy>
  <cp:revision>0</cp:revision>
  <dcterms:created xsi:type="dcterms:W3CDTF">2026-08-17T13:43:31Z</dcterms:created>
  <dcterms:modified xsi:type="dcterms:W3CDTF">2026-08-17T13:50:05Z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fe8dcb-6147-4658-ac84-b2106d8ef0ca_Enabled">
    <vt:lpwstr>true</vt:lpwstr>
  </property>
  <property fmtid="{D5CDD505-2E9C-101B-9397-08002B2CF9AE}" pid="3" name="MSIP_Label_85fe8dcb-6147-4658-ac84-b2106d8ef0ca_SetDate">
    <vt:lpwstr>2026-08-17T13:45:33Z</vt:lpwstr>
  </property>
  <property fmtid="{D5CDD505-2E9C-101B-9397-08002B2CF9AE}" pid="4" name="MSIP_Label_85fe8dcb-6147-4658-ac84-b2106d8ef0ca_Method">
    <vt:lpwstr>Privileged</vt:lpwstr>
  </property>
  <property fmtid="{D5CDD505-2E9C-101B-9397-08002B2CF9AE}" pid="5" name="MSIP_Label_85fe8dcb-6147-4658-ac84-b2106d8ef0ca_Name">
    <vt:lpwstr>Public</vt:lpwstr>
  </property>
  <property fmtid="{D5CDD505-2E9C-101B-9397-08002B2CF9AE}" pid="6" name="MSIP_Label_85fe8dcb-6147-4658-ac84-b2106d8ef0ca_SiteId">
    <vt:lpwstr>e9e12402-b3ab-458f-a106-d7b5007b75fc</vt:lpwstr>
  </property>
  <property fmtid="{D5CDD505-2E9C-101B-9397-08002B2CF9AE}" pid="7" name="MSIP_Label_85fe8dcb-6147-4658-ac84-b2106d8ef0ca_ActionId">
    <vt:lpwstr>ba3ab715-f420-4e4a-b43c-60adffd5e72b</vt:lpwstr>
  </property>
  <property fmtid="{D5CDD505-2E9C-101B-9397-08002B2CF9AE}" pid="8" name="MSIP_Label_85fe8dcb-6147-4658-ac84-b2106d8ef0ca_ContentBits">
    <vt:lpwstr>0</vt:lpwstr>
  </property>
  <property fmtid="{D5CDD505-2E9C-101B-9397-08002B2CF9AE}" pid="9" name="MSIP_Label_85fe8dcb-6147-4658-ac84-b2106d8ef0ca_Tag">
    <vt:lpwstr>10, 0, 1, 1</vt:lpwstr>
  </property>
</Properties>
</file>